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IC\"/>
    </mc:Choice>
  </mc:AlternateContent>
  <xr:revisionPtr revIDLastSave="0" documentId="8_{4388DA3D-C4E4-4328-B807-4F0D06E6192A}" xr6:coauthVersionLast="47" xr6:coauthVersionMax="47" xr10:uidLastSave="{00000000-0000-0000-0000-000000000000}"/>
  <bookViews>
    <workbookView xWindow="-120" yWindow="-120" windowWidth="29040" windowHeight="15720" activeTab="4" xr2:uid="{3D528E3E-1576-4326-B016-68B4FDBC6C45}"/>
  </bookViews>
  <sheets>
    <sheet name="Exercicio 1 - soma" sheetId="1" r:id="rId1"/>
    <sheet name="Exercicio 2 - subtração" sheetId="2" r:id="rId2"/>
    <sheet name="Exercicio 3 - multiplicação" sheetId="3" r:id="rId3"/>
    <sheet name="Exercicio 4 - divisão" sheetId="4" r:id="rId4"/>
    <sheet name="Execicio 5 - médi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5" l="1"/>
  <c r="B8" i="5"/>
  <c r="B7" i="5"/>
  <c r="B6" i="5"/>
  <c r="C4" i="4"/>
  <c r="C3" i="4"/>
  <c r="C2" i="4"/>
  <c r="C1" i="4"/>
  <c r="C4" i="3"/>
  <c r="C3" i="3"/>
  <c r="C2" i="3"/>
  <c r="C1" i="3"/>
  <c r="B8" i="2"/>
  <c r="B7" i="2"/>
  <c r="B6" i="2"/>
  <c r="B5" i="2"/>
  <c r="B9" i="1"/>
  <c r="B8" i="1"/>
  <c r="B7" i="1"/>
  <c r="B6" i="1"/>
</calcChain>
</file>

<file path=xl/sharedStrings.xml><?xml version="1.0" encoding="utf-8"?>
<sst xmlns="http://schemas.openxmlformats.org/spreadsheetml/2006/main" count="24" uniqueCount="24">
  <si>
    <t>Base de dados</t>
  </si>
  <si>
    <t>Interface(FrontEnd)</t>
  </si>
  <si>
    <t>Lógica(BackEnd)</t>
  </si>
  <si>
    <t>Integração(API)</t>
  </si>
  <si>
    <t>Teste de Qualidade</t>
  </si>
  <si>
    <t>somas</t>
  </si>
  <si>
    <t>Total de bugs reportados</t>
  </si>
  <si>
    <t>Bugs resolvidos</t>
  </si>
  <si>
    <r>
      <t>Orçamento do projeto(</t>
    </r>
    <r>
      <rPr>
        <sz val="11"/>
        <color theme="1"/>
        <rFont val="Aptos Narrow"/>
        <family val="2"/>
      </rPr>
      <t>€)</t>
    </r>
  </si>
  <si>
    <r>
      <t>Custo totais(</t>
    </r>
    <r>
      <rPr>
        <sz val="11"/>
        <color theme="1"/>
        <rFont val="Aptos Narrow"/>
        <family val="2"/>
      </rPr>
      <t>€)</t>
    </r>
  </si>
  <si>
    <t>Qtd.  De servidores Cloud</t>
  </si>
  <si>
    <r>
      <t>Custo mensal por servidor(</t>
    </r>
    <r>
      <rPr>
        <sz val="11"/>
        <color theme="1"/>
        <rFont val="Aptos Narrow"/>
        <family val="2"/>
      </rPr>
      <t>€)</t>
    </r>
  </si>
  <si>
    <t>Horas do Freelancer</t>
  </si>
  <si>
    <r>
      <t>Valor da hora(</t>
    </r>
    <r>
      <rPr>
        <sz val="11"/>
        <color theme="1"/>
        <rFont val="Aptos Narrow"/>
        <family val="2"/>
      </rPr>
      <t>€)</t>
    </r>
  </si>
  <si>
    <r>
      <t>Despesa total de liçencas(</t>
    </r>
    <r>
      <rPr>
        <sz val="11"/>
        <color theme="1"/>
        <rFont val="Aptos Narrow"/>
        <family val="2"/>
      </rPr>
      <t>€)</t>
    </r>
  </si>
  <si>
    <t>Número de programadores</t>
  </si>
  <si>
    <t>Total de tarefas da Sprint</t>
  </si>
  <si>
    <t>Dias da Sprint</t>
  </si>
  <si>
    <t>Segunda-feira</t>
  </si>
  <si>
    <t>Terça-feira</t>
  </si>
  <si>
    <t>Quarta-feira</t>
  </si>
  <si>
    <t>Quinta-feira</t>
  </si>
  <si>
    <t>Sexta-feira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</si>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</sst>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0057-6864-4ED4-AB37-4509F0096AB2}">
  <dimension ref="A1:B9"/>
  <sheetViews>
    <sheetView workbookViewId="0">
      <selection activeCell="F6" sqref="F6"/>
    </sheetView>
  </sheetViews>
  <sheetFormatPr defaultRowHeight="15" x14ac:dyDescent="0.25"/>
  <cols>
    <col min="1" max="1" width="26.85546875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  <c r="B3">
        <v>150</v>
      </c>
    </row>
    <row r="4" spans="1:2" x14ac:dyDescent="0.25">
      <c r="A4" t="s">
        <v>3</v>
      </c>
      <c r="B4">
        <v>40</v>
      </c>
    </row>
    <row r="5" spans="1:2" x14ac:dyDescent="0.25">
      <c r="A5" t="s">
        <v>4</v>
      </c>
      <c r="B5">
        <v>60</v>
      </c>
    </row>
    <row r="6" spans="1:2" x14ac:dyDescent="0.25">
      <c r="A6" s="2" t="s">
        <v>5</v>
      </c>
      <c r="B6" s="1">
        <f>SUM(B1:B5)</f>
        <v>450</v>
      </c>
    </row>
    <row r="7" spans="1:2" x14ac:dyDescent="0.25">
      <c r="A7" s="3"/>
      <c r="B7" s="1">
        <f>SUM(B2,D7)</f>
        <v>80</v>
      </c>
    </row>
    <row r="8" spans="1:2" x14ac:dyDescent="0.25">
      <c r="A8" s="3"/>
      <c r="B8" s="1">
        <f>B1+B4+B5</f>
        <v>220</v>
      </c>
    </row>
    <row r="9" spans="1:2" x14ac:dyDescent="0.25">
      <c r="A9" s="4"/>
      <c r="B9" s="1">
        <f>B6+15</f>
        <v>465</v>
      </c>
    </row>
  </sheetData>
  <mergeCells count="1">
    <mergeCell ref="A6:A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4C4-BD01-431E-9275-209E7EBB2B50}">
  <dimension ref="A1:B8"/>
  <sheetViews>
    <sheetView workbookViewId="0">
      <selection activeCell="F6" sqref="F6"/>
    </sheetView>
  </sheetViews>
  <sheetFormatPr defaultRowHeight="15" x14ac:dyDescent="0.25"/>
  <cols>
    <col min="1" max="1" width="27.140625" customWidth="1"/>
  </cols>
  <sheetData>
    <row r="1" spans="1:2" x14ac:dyDescent="0.25">
      <c r="A1" t="s">
        <v>6</v>
      </c>
      <c r="B1">
        <v>150</v>
      </c>
    </row>
    <row r="2" spans="1:2" x14ac:dyDescent="0.25">
      <c r="A2" t="s">
        <v>7</v>
      </c>
      <c r="B2">
        <v>120</v>
      </c>
    </row>
    <row r="3" spans="1:2" x14ac:dyDescent="0.25">
      <c r="A3" t="s">
        <v>8</v>
      </c>
      <c r="B3">
        <v>5000</v>
      </c>
    </row>
    <row r="4" spans="1:2" x14ac:dyDescent="0.25">
      <c r="A4" t="s">
        <v>9</v>
      </c>
      <c r="B4">
        <v>3800</v>
      </c>
    </row>
    <row r="5" spans="1:2" x14ac:dyDescent="0.25">
      <c r="B5" s="1">
        <f>B1-B2</f>
        <v>30</v>
      </c>
    </row>
    <row r="6" spans="1:2" x14ac:dyDescent="0.25">
      <c r="B6" s="1">
        <f>B3-B4</f>
        <v>1200</v>
      </c>
    </row>
    <row r="7" spans="1:2" x14ac:dyDescent="0.25">
      <c r="B7" s="1">
        <f>B4+500</f>
        <v>4300</v>
      </c>
    </row>
    <row r="8" spans="1:2" x14ac:dyDescent="0.25">
      <c r="B8" s="1">
        <f>150-B2</f>
        <v>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072D-7F0B-4A11-82C1-830B749AA9E7}">
  <dimension ref="A1:C4"/>
  <sheetViews>
    <sheetView workbookViewId="0">
      <selection activeCell="C5" sqref="C5"/>
    </sheetView>
  </sheetViews>
  <sheetFormatPr defaultRowHeight="15" x14ac:dyDescent="0.25"/>
  <cols>
    <col min="1" max="1" width="28.140625" customWidth="1"/>
  </cols>
  <sheetData>
    <row r="1" spans="1:3" x14ac:dyDescent="0.25">
      <c r="A1" t="s">
        <v>10</v>
      </c>
      <c r="B1">
        <v>5</v>
      </c>
      <c r="C1">
        <f>PRODUCT(B1,B2)</f>
        <v>750</v>
      </c>
    </row>
    <row r="2" spans="1:3" x14ac:dyDescent="0.25">
      <c r="A2" t="s">
        <v>11</v>
      </c>
      <c r="B2" s="5">
        <v>150</v>
      </c>
      <c r="C2">
        <f>B3*B4</f>
        <v>1400</v>
      </c>
    </row>
    <row r="3" spans="1:3" x14ac:dyDescent="0.25">
      <c r="A3" t="s">
        <v>12</v>
      </c>
      <c r="B3">
        <v>40</v>
      </c>
      <c r="C3">
        <f>B1*3</f>
        <v>15</v>
      </c>
    </row>
    <row r="4" spans="1:3" x14ac:dyDescent="0.25">
      <c r="A4" t="s">
        <v>13</v>
      </c>
      <c r="B4" s="5">
        <v>35</v>
      </c>
      <c r="C4">
        <f>B4*0.2</f>
        <v>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AFED-6A20-4270-A04E-8416364F15D7}">
  <dimension ref="A1:C4"/>
  <sheetViews>
    <sheetView workbookViewId="0">
      <selection activeCell="C5" sqref="C5"/>
    </sheetView>
  </sheetViews>
  <sheetFormatPr defaultRowHeight="15" x14ac:dyDescent="0.25"/>
  <cols>
    <col min="1" max="1" width="27.5703125" customWidth="1"/>
  </cols>
  <sheetData>
    <row r="1" spans="1:3" x14ac:dyDescent="0.25">
      <c r="A1" t="s">
        <v>14</v>
      </c>
      <c r="B1">
        <v>1200</v>
      </c>
      <c r="C1">
        <f>B1/B2</f>
        <v>200</v>
      </c>
    </row>
    <row r="2" spans="1:3" x14ac:dyDescent="0.25">
      <c r="A2" t="s">
        <v>15</v>
      </c>
      <c r="B2">
        <v>6</v>
      </c>
      <c r="C2">
        <f>B3/B4</f>
        <v>6</v>
      </c>
    </row>
    <row r="3" spans="1:3" x14ac:dyDescent="0.25">
      <c r="A3" t="s">
        <v>16</v>
      </c>
      <c r="B3">
        <v>84</v>
      </c>
      <c r="C3">
        <f>600/12</f>
        <v>50</v>
      </c>
    </row>
    <row r="4" spans="1:3" x14ac:dyDescent="0.25">
      <c r="A4" t="s">
        <v>17</v>
      </c>
      <c r="B4">
        <v>14</v>
      </c>
      <c r="C4">
        <f>B1/2</f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9E78-EE6F-41B3-9530-D47D0CE654A3}">
  <dimension ref="A1:B11"/>
  <sheetViews>
    <sheetView tabSelected="1" workbookViewId="0">
      <selection activeCell="B12" sqref="B12"/>
    </sheetView>
  </sheetViews>
  <sheetFormatPr defaultRowHeight="15" x14ac:dyDescent="0.25"/>
  <cols>
    <col min="1" max="1" width="18.5703125" customWidth="1"/>
  </cols>
  <sheetData>
    <row r="1" spans="1:2" x14ac:dyDescent="0.25">
      <c r="A1" t="s">
        <v>18</v>
      </c>
      <c r="B1">
        <v>120</v>
      </c>
    </row>
    <row r="2" spans="1:2" x14ac:dyDescent="0.25">
      <c r="A2" t="s">
        <v>19</v>
      </c>
      <c r="B2">
        <v>135</v>
      </c>
    </row>
    <row r="3" spans="1:2" x14ac:dyDescent="0.25">
      <c r="A3" t="s">
        <v>20</v>
      </c>
      <c r="B3">
        <v>110</v>
      </c>
    </row>
    <row r="4" spans="1:2" x14ac:dyDescent="0.25">
      <c r="A4" t="s">
        <v>21</v>
      </c>
      <c r="B4">
        <v>140</v>
      </c>
    </row>
    <row r="5" spans="1:2" x14ac:dyDescent="0.25">
      <c r="A5" t="s">
        <v>22</v>
      </c>
      <c r="B5">
        <v>125</v>
      </c>
    </row>
    <row r="6" spans="1:2" x14ac:dyDescent="0.25">
      <c r="B6">
        <f>AVERAGE(B1:B5)</f>
        <v>126</v>
      </c>
    </row>
    <row r="7" spans="1:2" x14ac:dyDescent="0.25">
      <c r="B7">
        <f>AVERAGE(B1:B3)</f>
        <v>121.66666666666667</v>
      </c>
    </row>
    <row r="8" spans="1:2" x14ac:dyDescent="0.25">
      <c r="B8">
        <f>AVERAGE(B2,B4)</f>
        <v>137.5</v>
      </c>
    </row>
    <row r="9" spans="1:2" x14ac:dyDescent="0.25">
      <c r="A9" t="s">
        <v>23</v>
      </c>
      <c r="B9">
        <v>150</v>
      </c>
    </row>
    <row r="11" spans="1:2" x14ac:dyDescent="0.25">
      <c r="B11">
        <f>AVERAGE(B1,B2,B3,B4,B5,B9)</f>
        <v>130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Exercicio 1 - soma</vt:lpstr>
      <vt:lpstr>Exercicio 2 - subtração</vt:lpstr>
      <vt:lpstr>Exercicio 3 - multiplicação</vt:lpstr>
      <vt:lpstr>Exercicio 4 - divisão</vt:lpstr>
      <vt:lpstr>Execicio 5 - média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2026-09-30T20:18:38Z</dcterms:created>
  <dcterms:modified xsi:type="dcterms:W3CDTF">2026-09-30T20:52:36Z</dcterms:modified>
</cp:coreProperties>
</file>